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6ED4B152-92FF-46F4-A536-060F7D4EE8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1" l="1"/>
  <c r="S19" i="1" s="1"/>
  <c r="L10" i="1"/>
  <c r="R18" i="1"/>
  <c r="S20" i="1"/>
  <c r="R21" i="1"/>
  <c r="R23" i="1" s="1"/>
  <c r="R20" i="1"/>
  <c r="R22" i="1" l="1"/>
  <c r="S21" i="1"/>
  <c r="S22" i="1" l="1"/>
  <c r="S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Helies, Victor</author>
  </authors>
  <commentList>
    <comment ref="I3" authorId="0" shapeId="0" xr:uid="{360E2FCC-1788-488F-8698-D848DF20FF9D}">
      <text>
        <r>
          <rPr>
            <sz val="11"/>
            <color theme="1"/>
            <rFont val="Aptos Narrow"/>
            <family val="2"/>
            <scheme val="minor"/>
          </rPr>
          <t>Helies, Victor:
From the research on this publication : https://www.sciencedirect.com/science/article/pii/S0016236116305579#f0005</t>
        </r>
      </text>
    </comment>
    <comment ref="O21" authorId="0" shapeId="0" xr:uid="{01EB94AB-2EFE-490F-B6B9-210B44D7B73A}">
      <text>
        <r>
          <rPr>
            <sz val="11"/>
            <color theme="1"/>
            <rFont val="Aptos Narrow"/>
            <family val="2"/>
            <scheme val="minor"/>
          </rPr>
          <t>Helies, Victor:
Air : 21% O2 and 79%N2</t>
        </r>
      </text>
    </comment>
    <comment ref="O22" authorId="0" shapeId="0" xr:uid="{D151D62E-B421-4682-9157-B625DC0F9876}">
      <text>
        <r>
          <rPr>
            <sz val="11"/>
            <color theme="1"/>
            <rFont val="Aptos Narrow"/>
            <family val="2"/>
            <scheme val="minor"/>
          </rPr>
          <t>Helies, Victor:
Calculated for constant flame position in standard conditions</t>
        </r>
      </text>
    </comment>
  </commentList>
</comments>
</file>

<file path=xl/sharedStrings.xml><?xml version="1.0" encoding="utf-8"?>
<sst xmlns="http://schemas.openxmlformats.org/spreadsheetml/2006/main" count="30" uniqueCount="30">
  <si>
    <t>Precalculations</t>
  </si>
  <si>
    <t>Variables</t>
  </si>
  <si>
    <t>Constants</t>
  </si>
  <si>
    <t>Methane consumption (m3/h)</t>
  </si>
  <si>
    <t>Expected flame power (kW)</t>
  </si>
  <si>
    <t>Calorific power of butane (MJ/kg)</t>
  </si>
  <si>
    <t>T2 (K)</t>
  </si>
  <si>
    <t>Calorific power of methane (MJ/kg)</t>
  </si>
  <si>
    <t>P2 (Pa)</t>
  </si>
  <si>
    <t>Flame speed of butane in standard conditions (m/s)</t>
  </si>
  <si>
    <t>Flame speed of methane in standard conditions (m/s)</t>
  </si>
  <si>
    <t>Combustion efficiency [0.0, 1.0]</t>
  </si>
  <si>
    <t>Mass per mol butane (g/mol)</t>
  </si>
  <si>
    <t>Results of precalculations</t>
  </si>
  <si>
    <t>Mass per mol methane (g/mol)</t>
  </si>
  <si>
    <t>Flame power from documentation (kW)</t>
  </si>
  <si>
    <t>Mass per mol O2 (g/mol)</t>
  </si>
  <si>
    <t>Massic ratio of O2 in air [0.0, 1.0]</t>
  </si>
  <si>
    <t>Specific air constant (J/(kg.K))</t>
  </si>
  <si>
    <t>Methane density</t>
  </si>
  <si>
    <t>Output</t>
  </si>
  <si>
    <t>Butane</t>
  </si>
  <si>
    <t>Methane</t>
  </si>
  <si>
    <t>No CO2 in the intake</t>
  </si>
  <si>
    <t>Fuel mass flow (kg/h)</t>
  </si>
  <si>
    <t>Fuel flow (m3/h)</t>
  </si>
  <si>
    <t>Air speed (m/s)</t>
  </si>
  <si>
    <t>Air mass flow (kg/h)</t>
  </si>
  <si>
    <t>Tube diameter (m)</t>
  </si>
  <si>
    <t>Air flow (m3/h)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</si>
</sst>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1D35"/>
      <name val="Aptos Display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1" fillId="2" borderId="1" xfId="0" applyFont="1" applyFill="1" applyBorder="1"/>
    <xf numFmtId="0" fontId="0" fillId="2" borderId="2" xfId="0" applyFill="1" applyBorder="1"/>
    <xf numFmtId="0" fontId="0" fillId="3" borderId="2" xfId="0" applyFill="1" applyBorder="1"/>
    <xf numFmtId="0" fontId="0" fillId="0" borderId="0" xfId="0" applyAlignment="1">
      <alignment horizontal="center"/>
    </xf>
    <xf numFmtId="0" fontId="0" fillId="5" borderId="1" xfId="0" applyFill="1" applyBorder="1"/>
    <xf numFmtId="0" fontId="0" fillId="7" borderId="1" xfId="0" applyFill="1" applyBorder="1"/>
    <xf numFmtId="0" fontId="0" fillId="3" borderId="4" xfId="0" applyFill="1" applyBorder="1"/>
    <xf numFmtId="0" fontId="0" fillId="2" borderId="2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19050</xdr:rowOff>
    </xdr:from>
    <xdr:to>
      <xdr:col>6</xdr:col>
      <xdr:colOff>409575</xdr:colOff>
      <xdr:row>25</xdr:row>
      <xdr:rowOff>19050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789FAA6-257C-8527-826C-1A85A3F56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209550"/>
          <a:ext cx="3343275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I2:W24"/>
  <sheetViews>
    <sheetView tabSelected="1" workbookViewId="0">
      <selection activeCell="E10" sqref="E10"/>
    </sheetView>
  </sheetViews>
  <sheetFormatPr defaultRowHeight="15"/>
  <sheetData>
    <row r="2" spans="9:23">
      <c r="I2" s="21" t="s">
        <v>0</v>
      </c>
      <c r="J2" s="21"/>
      <c r="K2" s="21"/>
      <c r="L2" s="21"/>
      <c r="M2" s="6"/>
      <c r="O2" s="18" t="s">
        <v>1</v>
      </c>
      <c r="P2" s="18"/>
      <c r="Q2" s="18"/>
      <c r="R2" s="18"/>
      <c r="T2" s="12" t="s">
        <v>2</v>
      </c>
      <c r="U2" s="12"/>
      <c r="V2" s="12"/>
      <c r="W2" s="12"/>
    </row>
    <row r="3" spans="9:23">
      <c r="I3" s="22" t="s">
        <v>3</v>
      </c>
      <c r="J3" s="22"/>
      <c r="K3" s="22"/>
      <c r="L3" s="7">
        <v>0.36</v>
      </c>
      <c r="O3" s="11" t="s">
        <v>4</v>
      </c>
      <c r="P3" s="11"/>
      <c r="Q3" s="11"/>
      <c r="R3" s="2">
        <v>3.6791999999999998</v>
      </c>
      <c r="T3" s="11" t="s">
        <v>5</v>
      </c>
      <c r="U3" s="11"/>
      <c r="V3" s="11"/>
      <c r="W3" s="3">
        <v>49.5</v>
      </c>
    </row>
    <row r="4" spans="9:23">
      <c r="I4" s="29"/>
      <c r="J4" s="30"/>
      <c r="K4" s="31"/>
      <c r="L4" s="7"/>
      <c r="O4" s="11" t="s">
        <v>6</v>
      </c>
      <c r="P4" s="11"/>
      <c r="Q4" s="11"/>
      <c r="R4" s="2">
        <v>293</v>
      </c>
      <c r="T4" s="11" t="s">
        <v>7</v>
      </c>
      <c r="U4" s="11"/>
      <c r="V4" s="11"/>
      <c r="W4" s="2">
        <v>56</v>
      </c>
    </row>
    <row r="5" spans="9:23">
      <c r="I5" s="29"/>
      <c r="J5" s="30"/>
      <c r="K5" s="31"/>
      <c r="L5" s="7"/>
      <c r="O5" s="11" t="s">
        <v>8</v>
      </c>
      <c r="P5" s="11"/>
      <c r="Q5" s="11"/>
      <c r="R5" s="2">
        <v>100000</v>
      </c>
      <c r="T5" s="1" t="s">
        <v>9</v>
      </c>
      <c r="U5" s="1"/>
      <c r="V5" s="1"/>
      <c r="W5" s="2">
        <v>0.33</v>
      </c>
    </row>
    <row r="6" spans="9:23">
      <c r="I6" s="29"/>
      <c r="J6" s="30"/>
      <c r="K6" s="31"/>
      <c r="L6" s="7"/>
      <c r="O6" s="20"/>
      <c r="P6" s="20"/>
      <c r="Q6" s="20"/>
      <c r="T6" s="10" t="s">
        <v>10</v>
      </c>
      <c r="U6" s="10"/>
      <c r="V6" s="10"/>
      <c r="W6" s="4">
        <v>0.3</v>
      </c>
    </row>
    <row r="7" spans="9:23">
      <c r="O7" s="13"/>
      <c r="P7" s="13"/>
      <c r="Q7" s="13"/>
      <c r="T7" s="10" t="s">
        <v>11</v>
      </c>
      <c r="U7" s="10"/>
      <c r="V7" s="10"/>
      <c r="W7" s="4">
        <v>1</v>
      </c>
    </row>
    <row r="8" spans="9:23">
      <c r="T8" s="11" t="s">
        <v>12</v>
      </c>
      <c r="U8" s="11"/>
      <c r="V8" s="11"/>
      <c r="W8" s="2">
        <v>58</v>
      </c>
    </row>
    <row r="9" spans="9:23">
      <c r="I9" s="23" t="s">
        <v>13</v>
      </c>
      <c r="J9" s="23"/>
      <c r="K9" s="23"/>
      <c r="L9" s="23"/>
      <c r="T9" s="11" t="s">
        <v>14</v>
      </c>
      <c r="U9" s="11"/>
      <c r="V9" s="11"/>
      <c r="W9" s="2">
        <v>16</v>
      </c>
    </row>
    <row r="10" spans="9:23">
      <c r="I10" s="24" t="s">
        <v>15</v>
      </c>
      <c r="J10" s="24"/>
      <c r="K10" s="24"/>
      <c r="L10" s="8">
        <f>L3*W4*W13*1000/3600</f>
        <v>3.6792000000000002</v>
      </c>
      <c r="T10" s="10" t="s">
        <v>16</v>
      </c>
      <c r="U10" s="10"/>
      <c r="V10" s="10"/>
      <c r="W10" s="4">
        <v>32</v>
      </c>
    </row>
    <row r="11" spans="9:23">
      <c r="I11" s="26"/>
      <c r="J11" s="27"/>
      <c r="K11" s="28"/>
      <c r="L11" s="8"/>
      <c r="T11" s="11" t="s">
        <v>17</v>
      </c>
      <c r="U11" s="11"/>
      <c r="V11" s="11"/>
      <c r="W11" s="2">
        <v>0.23200000000000001</v>
      </c>
    </row>
    <row r="12" spans="9:23">
      <c r="I12" s="26"/>
      <c r="J12" s="27"/>
      <c r="K12" s="28"/>
      <c r="L12" s="8"/>
      <c r="T12" s="32" t="s">
        <v>18</v>
      </c>
      <c r="U12" s="32"/>
      <c r="V12" s="32"/>
      <c r="W12" s="4">
        <v>287</v>
      </c>
    </row>
    <row r="13" spans="9:23">
      <c r="I13" s="26"/>
      <c r="J13" s="27"/>
      <c r="K13" s="28"/>
      <c r="L13" s="8"/>
      <c r="T13" s="25" t="s">
        <v>19</v>
      </c>
      <c r="U13" s="25"/>
      <c r="V13" s="25"/>
      <c r="W13" s="2">
        <v>0.65700000000000003</v>
      </c>
    </row>
    <row r="17" spans="14:19">
      <c r="O17" s="12" t="s">
        <v>20</v>
      </c>
      <c r="P17" s="12"/>
      <c r="Q17" s="12"/>
      <c r="R17" s="9" t="s">
        <v>21</v>
      </c>
      <c r="S17" s="5" t="s">
        <v>22</v>
      </c>
    </row>
    <row r="18" spans="14:19">
      <c r="N18" s="17" t="s">
        <v>23</v>
      </c>
      <c r="O18" s="19" t="s">
        <v>24</v>
      </c>
      <c r="P18" s="19"/>
      <c r="Q18" s="19"/>
      <c r="R18" s="2">
        <f>3600*R3/(1000*W3)</f>
        <v>0.26757818181818177</v>
      </c>
      <c r="S18" s="2">
        <f>3600*R3/(1000*W4)</f>
        <v>0.23651999999999998</v>
      </c>
    </row>
    <row r="19" spans="14:19">
      <c r="N19" s="17"/>
      <c r="O19" s="14" t="s">
        <v>25</v>
      </c>
      <c r="P19" s="15"/>
      <c r="Q19" s="16"/>
      <c r="R19" s="2"/>
      <c r="S19" s="2">
        <f>S18/W13</f>
        <v>0.35999999999999993</v>
      </c>
    </row>
    <row r="20" spans="14:19">
      <c r="N20" s="17"/>
      <c r="O20" s="11" t="s">
        <v>26</v>
      </c>
      <c r="P20" s="11"/>
      <c r="Q20" s="11"/>
      <c r="R20" s="2">
        <f>W5</f>
        <v>0.33</v>
      </c>
      <c r="S20" s="2">
        <f>W6</f>
        <v>0.3</v>
      </c>
    </row>
    <row r="21" spans="14:19">
      <c r="N21" s="17"/>
      <c r="O21" s="11" t="s">
        <v>27</v>
      </c>
      <c r="P21" s="11"/>
      <c r="Q21" s="11"/>
      <c r="R21" s="2">
        <f>R18*W10*6.5/(W7*W8*W11)</f>
        <v>4.1361669008755797</v>
      </c>
      <c r="S21" s="2">
        <f>S18*2*W10/(W9*W7*W11)</f>
        <v>4.0779310344827584</v>
      </c>
    </row>
    <row r="22" spans="14:19">
      <c r="N22" s="17"/>
      <c r="O22" s="11" t="s">
        <v>28</v>
      </c>
      <c r="P22" s="11"/>
      <c r="Q22" s="11"/>
      <c r="R22" s="2">
        <f>SQRT((R18+R21)/(3.14159*R20*3600))</f>
        <v>3.4350108435813868E-2</v>
      </c>
      <c r="S22" s="2">
        <f>SQRT((S18+S21)/(3.14159*S20*3600))</f>
        <v>3.565957325279271E-2</v>
      </c>
    </row>
    <row r="23" spans="14:19">
      <c r="N23" s="17"/>
      <c r="O23" s="11" t="s">
        <v>29</v>
      </c>
      <c r="P23" s="11"/>
      <c r="Q23" s="11"/>
      <c r="R23" s="2">
        <f>R21*W12*R4/R5</f>
        <v>3.4781441086152838</v>
      </c>
      <c r="S23" s="2">
        <f>S21*W12*R4/R5</f>
        <v>3.429172986206896</v>
      </c>
    </row>
    <row r="24" spans="14:19">
      <c r="O24" s="33"/>
      <c r="P24" s="33"/>
      <c r="Q24" s="33"/>
    </row>
  </sheetData>
  <mergeCells count="36">
    <mergeCell ref="I2:L2"/>
    <mergeCell ref="I3:K3"/>
    <mergeCell ref="I9:L9"/>
    <mergeCell ref="I10:K10"/>
    <mergeCell ref="T13:V13"/>
    <mergeCell ref="I11:K11"/>
    <mergeCell ref="I12:K12"/>
    <mergeCell ref="I13:K13"/>
    <mergeCell ref="I4:K4"/>
    <mergeCell ref="I5:K5"/>
    <mergeCell ref="I6:K6"/>
    <mergeCell ref="O5:Q5"/>
    <mergeCell ref="T12:V12"/>
    <mergeCell ref="N18:N23"/>
    <mergeCell ref="O3:Q3"/>
    <mergeCell ref="O2:R2"/>
    <mergeCell ref="T2:W2"/>
    <mergeCell ref="T3:V3"/>
    <mergeCell ref="T4:V4"/>
    <mergeCell ref="O4:Q4"/>
    <mergeCell ref="T6:V6"/>
    <mergeCell ref="O18:Q18"/>
    <mergeCell ref="O20:Q20"/>
    <mergeCell ref="O21:Q21"/>
    <mergeCell ref="O22:Q22"/>
    <mergeCell ref="O23:Q23"/>
    <mergeCell ref="O6:Q6"/>
    <mergeCell ref="O24:Q24"/>
    <mergeCell ref="T7:V7"/>
    <mergeCell ref="T8:V8"/>
    <mergeCell ref="T9:V9"/>
    <mergeCell ref="T10:V10"/>
    <mergeCell ref="T11:V11"/>
    <mergeCell ref="O17:Q17"/>
    <mergeCell ref="O7:Q7"/>
    <mergeCell ref="O19:Q19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6C9C543622124BB7D20CAD399E3ACE" ma:contentTypeVersion="4" ma:contentTypeDescription="Create a new document." ma:contentTypeScope="" ma:versionID="7a772978647eb656daa12bedd0e2dda1">
  <xsd:schema xmlns:xsd="http://www.w3.org/2001/XMLSchema" xmlns:xs="http://www.w3.org/2001/XMLSchema" xmlns:p="http://schemas.microsoft.com/office/2006/metadata/properties" xmlns:ns2="d5e49e15-21eb-4569-bd84-f539f6112281" targetNamespace="http://schemas.microsoft.com/office/2006/metadata/properties" ma:root="true" ma:fieldsID="43e1a179fcb193965081e2d63a87f3e3" ns2:_="">
    <xsd:import namespace="d5e49e15-21eb-4569-bd84-f539f61122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e49e15-21eb-4569-bd84-f539f6112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" ma:index="11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d5e49e15-21eb-4569-bd84-f539f611228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265A1E-90BE-4B47-926F-48B95492CC82}"/>
</file>

<file path=customXml/itemProps2.xml><?xml version="1.0" encoding="utf-8"?>
<ds:datastoreItem xmlns:ds="http://schemas.openxmlformats.org/officeDocument/2006/customXml" ds:itemID="{21019704-A2A2-4CB8-A21E-FC016E2FDD5A}"/>
</file>

<file path=customXml/itemProps3.xml><?xml version="1.0" encoding="utf-8"?>
<ds:datastoreItem xmlns:ds="http://schemas.openxmlformats.org/officeDocument/2006/customXml" ds:itemID="{B7BD43C2-24FB-4FF5-9F69-63A61685A7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2025-07-14T13:14:22Z</dcterms:created>
  <dcterms:modified xsi:type="dcterms:W3CDTF">2025-11-16T13:58:40Z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0x0101001A6C9C543622124BB7D20CAD399E3ACE</vt:lpwstr>
  </property>
</Properties>
</file>